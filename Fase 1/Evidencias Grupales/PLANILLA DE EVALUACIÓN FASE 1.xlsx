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6/"/>
    </mc:Choice>
  </mc:AlternateContent>
  <xr:revisionPtr revIDLastSave="0" documentId="13_ncr:1_{796C6D9C-E0DD-E04F-B611-5799DA8A91EC}" xr6:coauthVersionLast="47" xr6:coauthVersionMax="47" xr10:uidLastSave="{00000000-0000-0000-0000-000000000000}"/>
  <bookViews>
    <workbookView xWindow="1900" yWindow="418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c r="H56" i="1"/>
  <c r="I56" i="1"/>
  <c r="F56" i="1"/>
  <c r="G56" i="1"/>
  <c r="D56" i="1"/>
  <c r="E56" i="1"/>
  <c r="J55" i="1"/>
  <c r="J57" i="1" s="1"/>
  <c r="K55" i="1"/>
  <c r="K57" i="1" s="1"/>
  <c r="H55" i="1"/>
  <c r="H57" i="1" s="1"/>
  <c r="F55" i="1"/>
  <c r="G55" i="1" s="1"/>
  <c r="G57" i="1" s="1"/>
  <c r="D55" i="1"/>
  <c r="E55" i="1" s="1"/>
  <c r="E57" i="1" s="1"/>
  <c r="J54" i="1"/>
  <c r="K54" i="1"/>
  <c r="H54" i="1"/>
  <c r="I54" i="1"/>
  <c r="F54" i="1"/>
  <c r="G54" i="1"/>
  <c r="D54" i="1"/>
  <c r="E54" i="1"/>
  <c r="J45" i="1"/>
  <c r="K45" i="1"/>
  <c r="H45" i="1"/>
  <c r="I45" i="1"/>
  <c r="F45" i="1"/>
  <c r="G45" i="1"/>
  <c r="D45" i="1"/>
  <c r="E45" i="1"/>
  <c r="J44" i="1"/>
  <c r="K44" i="1" s="1"/>
  <c r="K46" i="1" s="1"/>
  <c r="H44" i="1"/>
  <c r="I44" i="1" s="1"/>
  <c r="I46" i="1" s="1"/>
  <c r="F44" i="1"/>
  <c r="G44" i="1" s="1"/>
  <c r="G46" i="1" s="1"/>
  <c r="D44" i="1"/>
  <c r="E44" i="1" s="1"/>
  <c r="E46" i="1" s="1"/>
  <c r="J43" i="1"/>
  <c r="K43" i="1"/>
  <c r="H43" i="1"/>
  <c r="I43" i="1"/>
  <c r="F43" i="1"/>
  <c r="G43" i="1"/>
  <c r="D43" i="1"/>
  <c r="E43" i="1"/>
  <c r="D19" i="1"/>
  <c r="E19" i="1"/>
  <c r="F19" i="1"/>
  <c r="G19" i="1"/>
  <c r="H19" i="1"/>
  <c r="I19" i="1"/>
  <c r="J19" i="1"/>
  <c r="K19" i="1"/>
  <c r="D17" i="1"/>
  <c r="E17" i="1"/>
  <c r="F17" i="1"/>
  <c r="G17" i="1"/>
  <c r="H17" i="1"/>
  <c r="I17" i="1"/>
  <c r="J17" i="1"/>
  <c r="K17" i="1"/>
  <c r="F31" i="1"/>
  <c r="G31" i="1"/>
  <c r="H31" i="1"/>
  <c r="I31" i="1"/>
  <c r="J31" i="1"/>
  <c r="K31" i="1"/>
  <c r="F14" i="1"/>
  <c r="G14" i="1"/>
  <c r="H14" i="1"/>
  <c r="I14" i="1"/>
  <c r="J14" i="1"/>
  <c r="K14" i="1"/>
  <c r="J33" i="1"/>
  <c r="K33" i="1"/>
  <c r="H33" i="1"/>
  <c r="I33" i="1"/>
  <c r="F33" i="1"/>
  <c r="G33" i="1"/>
  <c r="D33" i="1"/>
  <c r="E33" i="1"/>
  <c r="C50" i="1"/>
  <c r="C39" i="1"/>
  <c r="B56" i="1"/>
  <c r="B55" i="1"/>
  <c r="B54" i="1"/>
  <c r="B45" i="1"/>
  <c r="B44" i="1"/>
  <c r="B43" i="1"/>
  <c r="D57" i="1"/>
  <c r="B32" i="1"/>
  <c r="B31" i="1"/>
  <c r="D31" i="1"/>
  <c r="E31" i="1"/>
  <c r="B33" i="1"/>
  <c r="J32" i="1"/>
  <c r="K32" i="1" s="1"/>
  <c r="K34" i="1" s="1"/>
  <c r="H32" i="1"/>
  <c r="I32" i="1" s="1"/>
  <c r="I34" i="1" s="1"/>
  <c r="F32" i="1"/>
  <c r="G32" i="1" s="1"/>
  <c r="G34" i="1" s="1"/>
  <c r="D32" i="1"/>
  <c r="E32" i="1" s="1"/>
  <c r="E34" i="1" s="1"/>
  <c r="C34" i="1" s="1"/>
  <c r="C35" i="1" s="1"/>
  <c r="D4" i="1" s="1"/>
  <c r="B15" i="1"/>
  <c r="B16" i="1"/>
  <c r="B17" i="1"/>
  <c r="B18" i="1"/>
  <c r="B19" i="1"/>
  <c r="B20" i="1"/>
  <c r="B21" i="1"/>
  <c r="B22" i="1"/>
  <c r="B14" i="1"/>
  <c r="B13" i="1"/>
  <c r="D13" i="1"/>
  <c r="E13" i="1"/>
  <c r="D14" i="1"/>
  <c r="E14" i="1"/>
  <c r="D15" i="1"/>
  <c r="E15" i="1" s="1"/>
  <c r="D16" i="1"/>
  <c r="E16" i="1" s="1"/>
  <c r="D18" i="1"/>
  <c r="E18" i="1" s="1"/>
  <c r="D22" i="1"/>
  <c r="E22" i="1"/>
  <c r="F20" i="1"/>
  <c r="G20" i="1"/>
  <c r="F21" i="1"/>
  <c r="G21" i="1"/>
  <c r="D21" i="1"/>
  <c r="E21" i="1"/>
  <c r="H21" i="1"/>
  <c r="I21" i="1"/>
  <c r="J21" i="1"/>
  <c r="K21" i="1"/>
  <c r="F22" i="1"/>
  <c r="G22" i="1"/>
  <c r="H22" i="1"/>
  <c r="I22" i="1"/>
  <c r="J22" i="1"/>
  <c r="K22" i="1"/>
  <c r="C27" i="1"/>
  <c r="J20" i="1"/>
  <c r="K20" i="1"/>
  <c r="H20" i="1"/>
  <c r="I20" i="1"/>
  <c r="D20" i="1"/>
  <c r="E20" i="1"/>
  <c r="J18" i="1"/>
  <c r="K18" i="1" s="1"/>
  <c r="H18" i="1"/>
  <c r="I18" i="1" s="1"/>
  <c r="F18" i="1"/>
  <c r="G18" i="1" s="1"/>
  <c r="J16" i="1"/>
  <c r="K16" i="1" s="1"/>
  <c r="H16" i="1"/>
  <c r="I16" i="1" s="1"/>
  <c r="F16" i="1"/>
  <c r="G16" i="1" s="1"/>
  <c r="J15" i="1"/>
  <c r="K15" i="1" s="1"/>
  <c r="H15" i="1"/>
  <c r="I15" i="1" s="1"/>
  <c r="F15" i="1"/>
  <c r="G15" i="1" s="1"/>
  <c r="J13" i="1"/>
  <c r="K13" i="1"/>
  <c r="H13" i="1"/>
  <c r="I13" i="1"/>
  <c r="F13" i="1"/>
  <c r="G13" i="1"/>
  <c r="I55" i="1" l="1"/>
  <c r="I57" i="1" s="1"/>
  <c r="C57" i="1" s="1"/>
  <c r="C58" i="1" s="1"/>
  <c r="D6" i="1" s="1"/>
  <c r="F57" i="1"/>
  <c r="C46" i="1"/>
  <c r="C47" i="1" s="1"/>
  <c r="D5" i="1" s="1"/>
  <c r="G23" i="1"/>
  <c r="K23" i="1"/>
  <c r="I23" i="1"/>
  <c r="E23" i="1"/>
  <c r="C23" i="1"/>
  <c r="C24" i="1" s="1"/>
  <c r="C6" i="1" l="1"/>
  <c r="E6" i="1" s="1"/>
  <c r="C5" i="1"/>
  <c r="E5" i="1" s="1"/>
  <c r="C4" i="1"/>
  <c r="E4" i="1" s="1"/>
</calcChain>
</file>

<file path=xl/sharedStrings.xml><?xml version="1.0" encoding="utf-8"?>
<sst xmlns="http://schemas.openxmlformats.org/spreadsheetml/2006/main" count="163" uniqueCount="104">
  <si>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</si>
  <si>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</si>
  <si>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</si>
  <si>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</si>
  <si>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</si>
  <si>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</si>
  <si>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</si>
  <si>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</si>
  <si>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</si>
  <si>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</si>
  <si>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</si>
  <si>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</si>
  <si>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</si>
  <si>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</si>
  <si>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</si>
  <si>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</si>
  <si>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</si>
  <si>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</si>
  <si>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</si>
  <si>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</si>
  <si>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</si>
  <si>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</si>
  <si>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</si>
  <si>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</si>
  <si>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</si>
  <si>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</si>
  <si>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</si>
  <si>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</si>
  <si>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</si>
  <si>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</si>
  <si>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</si>
  <si>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</si>
  <si>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</si>
  <si>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</si>
  <si>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</si>
  <si>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</si>
  <si>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</si>
  <si>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</si>
  <si>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</si>
  <si>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</si>
  <si>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</si>
  <si>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</si>
  <si>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</si>
  <si>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</si>
  <si>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</si>
  <si>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</si>
  <si>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</si>
  <si>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</si>
  <si>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</si>
  <si>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</si>
  <si>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</si>
  <si>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</si>
  <si>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</si>
  <si>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</si>
  <si>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</si>
  <si>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</si>
  <si>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</si>
  <si>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</si>
  <si>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</si>
  <si>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</si>
  <si>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</si>
  <si>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</si>
  <si>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</si>
  <si>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</si>
  <si>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</si>
  <si>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</si>
  <si>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</si>
  <si>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</si>
  <si>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</si>
  <si>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</si>
  <si>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</si>
  <si>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</si>
  <si>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</si>
  <si>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</si>
  <si>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</si>
  <si>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</si>
  <si>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</si>
  <si>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</si>
  <si>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</si>
  <si>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</si>
  <si>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</si>
  <si>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</si>
  <si>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</si>
  <si>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</si>
  <si>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</si>
  <si>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</si>
  <si>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</si>
  <si>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</si>
  <si>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</si>
  <si>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</si>
  <si>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</si>
  <si>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</si>
  <si>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</si>
  <si>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</si>
  <si>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</si>
  <si>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Alcance muy corto y Revisar chat</t>
  </si>
  <si>
    <t>No se ve la arquitectura</t>
  </si>
  <si>
    <t>Por qué en el Jira partieron por el el Login y Bienvenida</t>
  </si>
  <si>
    <t>Slide de metodología - ajustar el release</t>
  </si>
  <si>
    <t>Katherine Jerez</t>
  </si>
  <si>
    <t>Carlos Chartier</t>
  </si>
  <si>
    <t>Jean Paul Villagra</t>
  </si>
  <si>
    <t>Falta objetivo principal y mejorar objetivos específicos</t>
  </si>
  <si>
    <t xml:space="preserve">Cambiar duración de los Sprints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</si>
</sst>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3"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5" sqref="C15"/>
    </sheetView>
  </sheetViews>
  <sheetFormatPr baseColWidth="10" defaultColWidth="14.33203125" defaultRowHeight="15" customHeight="1" outlineLevelRow="1" x14ac:dyDescent="0.2"/>
  <cols>
    <col min="1" max="1" width="10.832031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832031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99</v>
      </c>
      <c r="C4" s="6">
        <f>EVALUACION1!$C$24</f>
        <v>6</v>
      </c>
      <c r="D4" s="6">
        <f>$C$35</f>
        <v>5.3</v>
      </c>
      <c r="E4" s="43">
        <f>C4*C$2+D4*D$2</f>
        <v>5.8250000000000002</v>
      </c>
      <c r="G4" s="1"/>
    </row>
    <row r="5" spans="1:11" x14ac:dyDescent="0.2">
      <c r="A5" s="5">
        <v>2</v>
      </c>
      <c r="B5" s="32" t="s">
        <v>100</v>
      </c>
      <c r="C5" s="6">
        <f>EVALUACION1!$C$24</f>
        <v>6</v>
      </c>
      <c r="D5" s="6">
        <f>C47</f>
        <v>6</v>
      </c>
      <c r="E5" s="43">
        <f t="shared" ref="E5:E6" si="0">C5*C$2+D5*D$2</f>
        <v>6</v>
      </c>
      <c r="G5" s="1"/>
    </row>
    <row r="6" spans="1:11" x14ac:dyDescent="0.2">
      <c r="A6" s="5">
        <v>3</v>
      </c>
      <c r="B6" s="32" t="s">
        <v>101</v>
      </c>
      <c r="C6" s="6">
        <f>EVALUACION1!$C$24</f>
        <v>6</v>
      </c>
      <c r="D6" s="6">
        <f>C58</f>
        <v>6</v>
      </c>
      <c r="E6" s="43">
        <f t="shared" si="0"/>
        <v>6</v>
      </c>
      <c r="G6" s="1"/>
    </row>
    <row r="11" spans="1:11" ht="19" outlineLevel="1" x14ac:dyDescent="0.2">
      <c r="A11" s="64" t="s">
        <v>3</v>
      </c>
      <c r="B11" s="14"/>
      <c r="C11" s="51" t="s">
        <v>4</v>
      </c>
      <c r="D11" s="58" t="s">
        <v>5</v>
      </c>
      <c r="E11" s="62"/>
      <c r="F11" s="62"/>
      <c r="G11" s="62"/>
      <c r="H11" s="62"/>
      <c r="I11" s="62"/>
      <c r="J11" s="62"/>
      <c r="K11" s="59"/>
    </row>
    <row r="12" spans="1:11" outlineLevel="1" x14ac:dyDescent="0.2">
      <c r="A12" s="61"/>
      <c r="B12" s="24" t="s">
        <v>6</v>
      </c>
      <c r="C12" s="50"/>
      <c r="D12" s="58" t="s">
        <v>7</v>
      </c>
      <c r="E12" s="59"/>
      <c r="F12" s="58" t="s">
        <v>8</v>
      </c>
      <c r="G12" s="59"/>
      <c r="H12" s="58" t="s">
        <v>9</v>
      </c>
      <c r="I12" s="59"/>
      <c r="J12" s="58" t="s">
        <v>10</v>
      </c>
      <c r="K12" s="59"/>
    </row>
    <row r="13" spans="1:11" ht="26" outlineLevel="1" x14ac:dyDescent="0.2">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93</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1"/>
      <c r="B23" s="34" t="s">
        <v>11</v>
      </c>
      <c r="C23" s="37">
        <f>E23+G23+I23+K23</f>
        <v>60.5</v>
      </c>
      <c r="D23" s="19"/>
      <c r="E23" s="19">
        <f>SUM(E13:E22)</f>
        <v>50</v>
      </c>
      <c r="F23" s="19"/>
      <c r="G23" s="19">
        <f>SUM(G13:G22)</f>
        <v>9</v>
      </c>
      <c r="H23" s="19"/>
      <c r="I23" s="19">
        <f>SUM(I13:I22)</f>
        <v>1.5</v>
      </c>
      <c r="J23" s="19"/>
      <c r="K23" s="19">
        <f>SUM(K13:K22)</f>
        <v>0</v>
      </c>
    </row>
    <row r="24" spans="1:11" ht="15.75" customHeight="1" outlineLevel="1" x14ac:dyDescent="0.25">
      <c r="A24" s="50"/>
      <c r="B24" s="36" t="s">
        <v>12</v>
      </c>
      <c r="C24" s="20">
        <f>VLOOKUP(C23,ESCALA_IEP!A2:B142,2,FALSE)</f>
        <v>6</v>
      </c>
    </row>
    <row r="25" spans="1:11" ht="15.75" customHeight="1" x14ac:dyDescent="0.2"/>
    <row r="26" spans="1:11" ht="15.75" customHeight="1" x14ac:dyDescent="0.2"/>
    <row r="27" spans="1:11" ht="15.75" customHeight="1" x14ac:dyDescent="0.2">
      <c r="A27" s="60" t="s">
        <v>13</v>
      </c>
      <c r="B27" s="49" t="s">
        <v>14</v>
      </c>
      <c r="C27" s="52" t="str">
        <f>$B$4</f>
        <v>Katherine Jerez</v>
      </c>
      <c r="D27" s="53"/>
      <c r="E27" s="53"/>
      <c r="F27" s="53"/>
      <c r="G27" s="53"/>
      <c r="H27" s="53"/>
      <c r="I27" s="53"/>
      <c r="J27" s="53"/>
      <c r="K27" s="54"/>
    </row>
    <row r="28" spans="1:11" ht="15.75" customHeight="1" x14ac:dyDescent="0.2">
      <c r="A28" s="61"/>
      <c r="B28" s="50"/>
      <c r="C28" s="55"/>
      <c r="D28" s="56"/>
      <c r="E28" s="56"/>
      <c r="F28" s="56"/>
      <c r="G28" s="56"/>
      <c r="H28" s="56"/>
      <c r="I28" s="56"/>
      <c r="J28" s="56"/>
      <c r="K28" s="57"/>
    </row>
    <row r="29" spans="1:11" ht="15.75" customHeight="1" x14ac:dyDescent="0.2">
      <c r="A29" s="61"/>
      <c r="B29" s="14" t="s">
        <v>15</v>
      </c>
      <c r="C29" s="51" t="s">
        <v>4</v>
      </c>
      <c r="D29" s="58" t="s">
        <v>5</v>
      </c>
      <c r="E29" s="62"/>
      <c r="F29" s="62"/>
      <c r="G29" s="62"/>
      <c r="H29" s="62"/>
      <c r="I29" s="62"/>
      <c r="J29" s="62"/>
      <c r="K29" s="59"/>
    </row>
    <row r="30" spans="1:11" ht="15.75" customHeight="1" x14ac:dyDescent="0.2">
      <c r="A30" s="61"/>
      <c r="B30" s="15" t="s">
        <v>6</v>
      </c>
      <c r="C30" s="50"/>
      <c r="D30" s="58" t="s">
        <v>7</v>
      </c>
      <c r="E30" s="59"/>
      <c r="F30" s="58" t="s">
        <v>8</v>
      </c>
      <c r="G30" s="59"/>
      <c r="H30" s="58" t="s">
        <v>16</v>
      </c>
      <c r="I30" s="59"/>
      <c r="J30" s="58" t="s">
        <v>10</v>
      </c>
      <c r="K30" s="59"/>
    </row>
    <row r="31" spans="1:11" ht="24.5" customHeight="1" x14ac:dyDescent="0.2">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1"/>
      <c r="B32" s="35" t="str">
        <f>RUBRICA!A15</f>
        <v>11. Expone el tema utilizando un lenguaje técnico disciplinar al presentar la propuesta y responde evidenciando un manejo de la información. *</v>
      </c>
      <c r="C32" s="33" t="s">
        <v>93</v>
      </c>
      <c r="D32" s="16" t="str">
        <f t="shared" si="25"/>
        <v/>
      </c>
      <c r="E32" s="16" t="str">
        <f>IF(D32="X",100*0.1,"")</f>
        <v/>
      </c>
      <c r="F32" s="16" t="str">
        <f t="shared" si="26"/>
        <v/>
      </c>
      <c r="G32" s="16" t="str">
        <f>IF(F32="X",60*0.1,"")</f>
        <v/>
      </c>
      <c r="H32" s="16" t="str">
        <f t="shared" si="27"/>
        <v>X</v>
      </c>
      <c r="I32" s="16">
        <f>IF(H32="X",30*0.1,"")</f>
        <v>3</v>
      </c>
      <c r="J32" s="16" t="str">
        <f t="shared" si="28"/>
        <v/>
      </c>
      <c r="K32" s="16" t="str">
        <f t="shared" si="29"/>
        <v/>
      </c>
    </row>
    <row r="33" spans="1:11" x14ac:dyDescent="0.2">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1"/>
      <c r="B34" s="21" t="s">
        <v>17</v>
      </c>
      <c r="C34" s="18">
        <f>E34+G34+I34+K34</f>
        <v>23</v>
      </c>
      <c r="D34" s="19"/>
      <c r="E34" s="19">
        <f>SUM(E31:E33)</f>
        <v>20</v>
      </c>
      <c r="F34" s="19"/>
      <c r="G34" s="19">
        <f t="shared" ref="G34:K34" si="30">SUM(G31:G33)</f>
        <v>0</v>
      </c>
      <c r="H34" s="19"/>
      <c r="I34" s="19">
        <f t="shared" si="30"/>
        <v>3</v>
      </c>
      <c r="J34" s="19"/>
      <c r="K34" s="19">
        <f t="shared" si="30"/>
        <v>0</v>
      </c>
    </row>
    <row r="35" spans="1:11" ht="15.75" customHeight="1" x14ac:dyDescent="0.25">
      <c r="A35" s="50"/>
      <c r="B35" s="17" t="s">
        <v>12</v>
      </c>
      <c r="C35" s="20">
        <f>VLOOKUP(C34,ESCALA_TRAB_EQUIP!A2:B62,2,FALSE)</f>
        <v>5.3</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0" t="s">
        <v>13</v>
      </c>
      <c r="B39" s="49" t="s">
        <v>14</v>
      </c>
      <c r="C39" s="52" t="str">
        <f>B5</f>
        <v>Carlos Chartier</v>
      </c>
      <c r="D39" s="53"/>
      <c r="E39" s="53"/>
      <c r="F39" s="53"/>
      <c r="G39" s="53"/>
      <c r="H39" s="53"/>
      <c r="I39" s="53"/>
      <c r="J39" s="53"/>
      <c r="K39" s="54"/>
    </row>
    <row r="40" spans="1:11" ht="15.75" customHeight="1" x14ac:dyDescent="0.2">
      <c r="A40" s="61"/>
      <c r="B40" s="50"/>
      <c r="C40" s="55"/>
      <c r="D40" s="56"/>
      <c r="E40" s="56"/>
      <c r="F40" s="56"/>
      <c r="G40" s="56"/>
      <c r="H40" s="56"/>
      <c r="I40" s="56"/>
      <c r="J40" s="56"/>
      <c r="K40" s="57"/>
    </row>
    <row r="41" spans="1:11" ht="15.75" customHeight="1" x14ac:dyDescent="0.2">
      <c r="A41" s="61"/>
      <c r="B41" s="14" t="s">
        <v>15</v>
      </c>
      <c r="C41" s="51" t="s">
        <v>4</v>
      </c>
      <c r="D41" s="58" t="s">
        <v>5</v>
      </c>
      <c r="E41" s="62"/>
      <c r="F41" s="62"/>
      <c r="G41" s="62"/>
      <c r="H41" s="62"/>
      <c r="I41" s="62"/>
      <c r="J41" s="62"/>
      <c r="K41" s="59"/>
    </row>
    <row r="42" spans="1:11" ht="15.75" customHeight="1" x14ac:dyDescent="0.2">
      <c r="A42" s="61"/>
      <c r="B42" s="15" t="s">
        <v>6</v>
      </c>
      <c r="C42" s="50"/>
      <c r="D42" s="58" t="s">
        <v>7</v>
      </c>
      <c r="E42" s="59"/>
      <c r="F42" s="58" t="s">
        <v>8</v>
      </c>
      <c r="G42" s="59"/>
      <c r="H42" s="58" t="s">
        <v>16</v>
      </c>
      <c r="I42" s="59"/>
      <c r="J42" s="58" t="s">
        <v>10</v>
      </c>
      <c r="K42" s="59"/>
    </row>
    <row r="43" spans="1:11" ht="26" customHeight="1" x14ac:dyDescent="0.2">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1"/>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25">
      <c r="A47" s="50"/>
      <c r="B47" s="17" t="s">
        <v>12</v>
      </c>
      <c r="C47" s="20">
        <f>VLOOKUP(C46,ESCALA_TRAB_EQUIP!A2:B62,2,FALSE)</f>
        <v>6</v>
      </c>
    </row>
    <row r="48" spans="1:11" ht="15.75" customHeight="1" x14ac:dyDescent="0.25">
      <c r="B48" s="22"/>
      <c r="C48" s="23"/>
    </row>
    <row r="49" spans="1:11" ht="15.75" customHeight="1" x14ac:dyDescent="0.25">
      <c r="B49" s="22"/>
      <c r="C49" s="23"/>
    </row>
    <row r="50" spans="1:11" ht="15.75" customHeight="1" x14ac:dyDescent="0.2">
      <c r="A50" s="60" t="s">
        <v>13</v>
      </c>
      <c r="B50" s="49" t="s">
        <v>14</v>
      </c>
      <c r="C50" s="52" t="str">
        <f>B6</f>
        <v>Jean Paul Villagra</v>
      </c>
      <c r="D50" s="53"/>
      <c r="E50" s="53"/>
      <c r="F50" s="53"/>
      <c r="G50" s="53"/>
      <c r="H50" s="53"/>
      <c r="I50" s="53"/>
      <c r="J50" s="53"/>
      <c r="K50" s="54"/>
    </row>
    <row r="51" spans="1:11" ht="15.75" customHeight="1" x14ac:dyDescent="0.2">
      <c r="A51" s="61"/>
      <c r="B51" s="50"/>
      <c r="C51" s="55"/>
      <c r="D51" s="56"/>
      <c r="E51" s="56"/>
      <c r="F51" s="56"/>
      <c r="G51" s="56"/>
      <c r="H51" s="56"/>
      <c r="I51" s="56"/>
      <c r="J51" s="56"/>
      <c r="K51" s="57"/>
    </row>
    <row r="52" spans="1:11" ht="15.75" customHeight="1" x14ac:dyDescent="0.2">
      <c r="A52" s="61"/>
      <c r="B52" s="14" t="s">
        <v>15</v>
      </c>
      <c r="C52" s="51" t="s">
        <v>4</v>
      </c>
      <c r="D52" s="58" t="s">
        <v>5</v>
      </c>
      <c r="E52" s="62"/>
      <c r="F52" s="62"/>
      <c r="G52" s="62"/>
      <c r="H52" s="62"/>
      <c r="I52" s="62"/>
      <c r="J52" s="62"/>
      <c r="K52" s="59"/>
    </row>
    <row r="53" spans="1:11" ht="15.75" customHeight="1" x14ac:dyDescent="0.2">
      <c r="A53" s="61"/>
      <c r="B53" s="15" t="s">
        <v>6</v>
      </c>
      <c r="C53" s="50"/>
      <c r="D53" s="58" t="s">
        <v>7</v>
      </c>
      <c r="E53" s="59"/>
      <c r="F53" s="58" t="s">
        <v>8</v>
      </c>
      <c r="G53" s="59"/>
      <c r="H53" s="58" t="s">
        <v>16</v>
      </c>
      <c r="I53" s="59"/>
      <c r="J53" s="58" t="s">
        <v>10</v>
      </c>
      <c r="K53" s="59"/>
    </row>
    <row r="54" spans="1:11" ht="26" customHeight="1" x14ac:dyDescent="0.2">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1"/>
      <c r="B55" s="35" t="str">
        <f>RUBRICA!A15</f>
        <v>11. Expone el tema utilizando un lenguaje técnico disciplinar al presentar la propuesta y responde evidenciando un manejo de la información. *</v>
      </c>
      <c r="C55" s="33" t="s">
        <v>8</v>
      </c>
      <c r="D55" s="16" t="str">
        <f t="shared" si="39"/>
        <v/>
      </c>
      <c r="E55" s="16" t="str">
        <f>IF(D55="X",100*0.1,"")</f>
        <v/>
      </c>
      <c r="F55" s="16" t="str">
        <f t="shared" si="40"/>
        <v>X</v>
      </c>
      <c r="G55" s="16">
        <f>IF(F55="X",60*0.1,"")</f>
        <v>6</v>
      </c>
      <c r="H55" s="16" t="str">
        <f t="shared" si="41"/>
        <v/>
      </c>
      <c r="I55" s="16" t="str">
        <f>IF(H55="X",30*0.1,"")</f>
        <v/>
      </c>
      <c r="J55" s="16" t="str">
        <f t="shared" si="42"/>
        <v/>
      </c>
      <c r="K55" s="16" t="str">
        <f t="shared" si="43"/>
        <v/>
      </c>
    </row>
    <row r="56" spans="1:11" ht="15.75" customHeight="1" x14ac:dyDescent="0.2">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1"/>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6</v>
      </c>
    </row>
    <row r="59" spans="1:11" ht="15.75" customHeight="1" x14ac:dyDescent="0.25">
      <c r="B59" s="22"/>
      <c r="C59" s="23"/>
    </row>
    <row r="60" spans="1:11" ht="15.75" customHeight="1" x14ac:dyDescent="0.2"/>
    <row r="61" spans="1:11" ht="15.75" customHeight="1" x14ac:dyDescent="0.2">
      <c r="B61" s="79" t="s">
        <v>102</v>
      </c>
    </row>
    <row r="62" spans="1:11" ht="15.75" customHeight="1" x14ac:dyDescent="0.2">
      <c r="B62" t="s">
        <v>95</v>
      </c>
    </row>
    <row r="63" spans="1:11" ht="15.75" customHeight="1" x14ac:dyDescent="0.2">
      <c r="B63" t="s">
        <v>96</v>
      </c>
    </row>
    <row r="64" spans="1:11" ht="15.75" customHeight="1" x14ac:dyDescent="0.2">
      <c r="B64" t="s">
        <v>98</v>
      </c>
    </row>
    <row r="65" spans="2:2" ht="15.75" customHeight="1" x14ac:dyDescent="0.2">
      <c r="B65" t="s">
        <v>97</v>
      </c>
    </row>
    <row r="66" spans="2:2" ht="15.75" customHeight="1" x14ac:dyDescent="0.2">
      <c r="B66" s="79" t="s">
        <v>103</v>
      </c>
    </row>
    <row r="67" spans="2:2" ht="15.75" customHeight="1" x14ac:dyDescent="0.2"/>
    <row r="68" spans="2:2" ht="15.75" customHeight="1" x14ac:dyDescent="0.2"/>
    <row r="69" spans="2:2" ht="15.75" customHeight="1" x14ac:dyDescent="0.2"/>
    <row r="70" spans="2:2" ht="15.75" customHeight="1" x14ac:dyDescent="0.2"/>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33203125" customWidth="1"/>
    <col min="2" max="2" width="40.16406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33203125" defaultRowHeight="15" customHeight="1" x14ac:dyDescent="0.2"/>
  <cols>
    <col min="1" max="21" width="10.832031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33203125" defaultRowHeight="15" customHeight="1" x14ac:dyDescent="0.2"/>
  <cols>
    <col min="1" max="26" width="10.832031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33203125" defaultRowHeight="15" customHeight="1" x14ac:dyDescent="0.2"/>
  <cols>
    <col min="1" max="22" width="10.832031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33203125" defaultRowHeight="15" customHeight="1" x14ac:dyDescent="0.2"/>
  <cols>
    <col min="1" max="25" width="10.832031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2026-04-15T23:23:30Z</dcterms:modified>
  <cp:category/>
  <cp:contentStatus/>
</cp:coreProperties>
</file>